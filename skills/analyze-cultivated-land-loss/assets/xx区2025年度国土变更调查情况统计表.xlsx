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/>
  <mc:AlternateContent xmlns:mc="http://schemas.openxmlformats.org/markup-compatibility/2006">
    <mc:Choice Requires="x15">
      <x15ac:absPath xmlns:x15ac="http://schemas.microsoft.com/office/spreadsheetml/2010/11/ac" url="D:\workspace\ai_gis_qgis\skills\analyze-cultivated-land-loss\assets\"/>
    </mc:Choice>
  </mc:AlternateContent>
  <xr:revisionPtr revIDLastSave="0" documentId="8_{F673AAC3-F994-4C62-A6E7-A4B6A559FB06}" xr6:coauthVersionLast="47" xr6:coauthVersionMax="47" xr10:uidLastSave="{00000000-0000-0000-0000-000000000000}"/>
  <bookViews>
    <workbookView xWindow="-120" yWindow="-120" windowWidth="29040" windowHeight="15720" xr2:uid="{E07946C7-40CA-4CDE-A247-65DAF29766D5}"/>
  </bookViews>
  <sheets>
    <sheet name="Sheet1" sheetId="1" r:id="rId1"/>
    <sheet name="Sheet2" sheetId="2" r:id="rId2"/>
    <sheet name="Sheet3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R12" i="1"/>
  <c r="B8" i="1"/>
  <c r="Q8" i="1"/>
  <c r="S8" i="1"/>
  <c r="R8" i="1"/>
  <c r="R9" i="1"/>
  <c r="S9" i="1"/>
  <c r="R10" i="1"/>
  <c r="S10" i="1"/>
  <c r="R11" i="1"/>
  <c r="S11" i="1"/>
  <c r="S13" i="1"/>
  <c r="S14" i="1"/>
  <c r="S15" i="1"/>
  <c r="S16" i="1"/>
  <c r="S17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</calcChain>
</file>

<file path=xl/sharedStrings.xml><?xml version="1.0" encoding="utf-8"?>
<sst xmlns="http://schemas.openxmlformats.org/spreadsheetml/2006/main" count="43" uniqueCount="39">
  <si>
    <t>2025年度国土变更调查情况明细表</t>
  </si>
  <si>
    <t>单位:亩、个</t>
  </si>
  <si>
    <t>管理区</t>
  </si>
  <si>
    <t>个数</t>
  </si>
  <si>
    <t>面积</t>
  </si>
  <si>
    <t>已举证图斑个数</t>
  </si>
  <si>
    <t>提交市级审核</t>
  </si>
  <si>
    <t>经外业调查耕地不合理流出</t>
  </si>
  <si>
    <t>新增耕地面积</t>
  </si>
  <si>
    <t>2024年耕地面积</t>
  </si>
  <si>
    <t>耕地变化面积</t>
  </si>
  <si>
    <t>2025年耕地面积</t>
  </si>
  <si>
    <t>耕地不合理流出面积总计</t>
  </si>
  <si>
    <t>非农化面积合计</t>
  </si>
  <si>
    <t>非粮化面积合计</t>
  </si>
  <si>
    <t>其中占永农面积</t>
  </si>
  <si>
    <t>流向林地、园地面积</t>
  </si>
  <si>
    <t>流向其他地类面积</t>
  </si>
  <si>
    <t>武汉市</t>
  </si>
  <si>
    <t>江岸区</t>
  </si>
  <si>
    <t>江汉区</t>
  </si>
  <si>
    <t>硚口区</t>
  </si>
  <si>
    <t>武昌区</t>
  </si>
  <si>
    <t>青山区</t>
  </si>
  <si>
    <t>洪山区</t>
  </si>
  <si>
    <t>东湖风景区</t>
  </si>
  <si>
    <t>东湖新技术开发区</t>
  </si>
  <si>
    <t>武汉经济技术开发区（汉南区）</t>
  </si>
  <si>
    <t>长江新区</t>
  </si>
  <si>
    <t>东西湖区</t>
  </si>
  <si>
    <t>蔡甸区</t>
  </si>
  <si>
    <t>江夏区</t>
  </si>
  <si>
    <t>黄陂区</t>
  </si>
  <si>
    <t>新洲区</t>
  </si>
  <si>
    <t>备注：耕地变化=2024年耕地面积-耕地流出面积+新增耕地面积，耕地变化=耕地不合理流出-新增耕地</t>
  </si>
  <si>
    <r>
      <t>1278</t>
    </r>
    <r>
      <rPr>
        <sz val="11"/>
        <color indexed="10"/>
        <rFont val="黑体"/>
        <family val="3"/>
        <charset val="134"/>
      </rPr>
      <t>（1343）</t>
    </r>
    <phoneticPr fontId="3" type="noConversion"/>
  </si>
  <si>
    <r>
      <t>19390.968393489</t>
    </r>
    <r>
      <rPr>
        <sz val="11"/>
        <color indexed="10"/>
        <rFont val="黑体"/>
        <family val="3"/>
        <charset val="134"/>
      </rPr>
      <t>（20040.65）</t>
    </r>
    <phoneticPr fontId="3" type="noConversion"/>
  </si>
  <si>
    <t>xx区</t>
    <phoneticPr fontId="3" type="noConversion"/>
  </si>
  <si>
    <t>统计时间：2025年xx月xx日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</si>
</sst>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2"/>
      <name val="宋体"/>
      <charset val="134"/>
    </font>
    <font>
      <sz val="14"/>
      <name val="黑体"/>
      <family val="3"/>
      <charset val="134"/>
    </font>
    <font>
      <sz val="11"/>
      <name val="黑体"/>
      <family val="3"/>
      <charset val="134"/>
    </font>
    <font>
      <sz val="9"/>
      <name val="宋体"/>
      <charset val="134"/>
    </font>
    <font>
      <sz val="11"/>
      <color indexed="10"/>
      <name val="黑体"/>
      <family val="3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176" fontId="2" fillId="0" borderId="4" xfId="0" applyNumberFormat="1" applyFont="1" applyBorder="1" applyAlignment="1">
      <alignment horizontal="center" vertical="center"/>
    </xf>
    <xf numFmtId="176" fontId="0" fillId="0" borderId="1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5" fillId="0" borderId="0" xfId="0" applyFont="1">
      <alignment vertical="center"/>
    </xf>
    <xf numFmtId="0" fontId="0" fillId="0" borderId="7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C78F-7565-4BEA-95F3-C8671D4E0EF0}">
  <dimension ref="A1:S25"/>
  <sheetViews>
    <sheetView tabSelected="1" zoomScale="85" zoomScaleNormal="85" zoomScaleSheetLayoutView="100" workbookViewId="0">
      <selection activeCell="I38" sqref="I38"/>
    </sheetView>
  </sheetViews>
  <sheetFormatPr defaultColWidth="9" defaultRowHeight="14.25" x14ac:dyDescent="0.15"/>
  <cols>
    <col min="1" max="1" width="14.75" customWidth="1"/>
    <col min="2" max="2" width="12.25" customWidth="1"/>
    <col min="3" max="3" width="16.625" customWidth="1"/>
    <col min="7" max="7" width="13.5" customWidth="1"/>
    <col min="9" max="9" width="13.125" customWidth="1"/>
    <col min="11" max="11" width="11.875" customWidth="1"/>
    <col min="12" max="12" width="13.625" customWidth="1"/>
    <col min="13" max="13" width="19.375" customWidth="1"/>
    <col min="14" max="15" width="15.375" customWidth="1"/>
    <col min="17" max="18" width="12" customWidth="1"/>
    <col min="19" max="19" width="12.75" bestFit="1" customWidth="1"/>
  </cols>
  <sheetData>
    <row r="1" spans="1:19" ht="18.75" x14ac:dyDescent="0.1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9" x14ac:dyDescent="0.15">
      <c r="A2" s="44"/>
      <c r="B2" s="44"/>
      <c r="C2" s="44"/>
      <c r="E2" s="1"/>
      <c r="I2" s="16" t="s">
        <v>38</v>
      </c>
      <c r="M2" s="45"/>
      <c r="N2" s="45"/>
      <c r="O2" s="45"/>
      <c r="P2" s="46"/>
      <c r="Q2" s="1" t="s">
        <v>1</v>
      </c>
      <c r="R2" s="1"/>
    </row>
    <row r="3" spans="1:19" ht="21.75" customHeight="1" x14ac:dyDescent="0.15">
      <c r="A3" s="36" t="s">
        <v>2</v>
      </c>
      <c r="B3" s="37" t="s">
        <v>3</v>
      </c>
      <c r="C3" s="37" t="s">
        <v>4</v>
      </c>
      <c r="D3" s="41" t="s">
        <v>5</v>
      </c>
      <c r="E3" s="42" t="s">
        <v>6</v>
      </c>
      <c r="F3" s="47" t="s">
        <v>7</v>
      </c>
      <c r="G3" s="48"/>
      <c r="H3" s="48"/>
      <c r="I3" s="48"/>
      <c r="J3" s="48"/>
      <c r="K3" s="48"/>
      <c r="L3" s="48"/>
      <c r="M3" s="48"/>
      <c r="N3" s="48"/>
      <c r="O3" s="48"/>
      <c r="P3" s="21" t="s">
        <v>8</v>
      </c>
      <c r="Q3" s="24" t="s">
        <v>9</v>
      </c>
      <c r="R3" s="25" t="s">
        <v>10</v>
      </c>
      <c r="S3" s="28" t="s">
        <v>11</v>
      </c>
    </row>
    <row r="4" spans="1:19" ht="21.75" customHeight="1" x14ac:dyDescent="0.15">
      <c r="A4" s="36"/>
      <c r="B4" s="38"/>
      <c r="C4" s="38"/>
      <c r="D4" s="41"/>
      <c r="E4" s="42"/>
      <c r="F4" s="36" t="s">
        <v>12</v>
      </c>
      <c r="G4" s="36"/>
      <c r="H4" s="49" t="s">
        <v>13</v>
      </c>
      <c r="I4" s="49"/>
      <c r="J4" s="42" t="s">
        <v>14</v>
      </c>
      <c r="K4" s="42"/>
      <c r="L4" s="42"/>
      <c r="M4" s="42"/>
      <c r="N4" s="42"/>
      <c r="O4" s="42"/>
      <c r="P4" s="22"/>
      <c r="Q4" s="24"/>
      <c r="R4" s="26"/>
      <c r="S4" s="28"/>
    </row>
    <row r="5" spans="1:19" x14ac:dyDescent="0.15">
      <c r="A5" s="36"/>
      <c r="B5" s="38"/>
      <c r="C5" s="38"/>
      <c r="D5" s="41"/>
      <c r="E5" s="42"/>
      <c r="F5" s="38"/>
      <c r="G5" s="23" t="s">
        <v>15</v>
      </c>
      <c r="H5" s="17"/>
      <c r="I5" s="22" t="s">
        <v>15</v>
      </c>
      <c r="J5" s="17"/>
      <c r="K5" s="19" t="s">
        <v>15</v>
      </c>
      <c r="L5" s="29" t="s">
        <v>16</v>
      </c>
      <c r="M5" s="30"/>
      <c r="N5" s="19" t="s">
        <v>17</v>
      </c>
      <c r="O5" s="31"/>
      <c r="P5" s="22"/>
      <c r="Q5" s="24"/>
      <c r="R5" s="26"/>
      <c r="S5" s="28"/>
    </row>
    <row r="6" spans="1:19" ht="12" customHeight="1" x14ac:dyDescent="0.15">
      <c r="A6" s="36"/>
      <c r="B6" s="38"/>
      <c r="C6" s="38"/>
      <c r="D6" s="41"/>
      <c r="E6" s="42"/>
      <c r="F6" s="38"/>
      <c r="G6" s="42"/>
      <c r="H6" s="17"/>
      <c r="I6" s="22"/>
      <c r="J6" s="17"/>
      <c r="K6" s="19"/>
      <c r="L6" s="29"/>
      <c r="M6" s="30"/>
      <c r="N6" s="32"/>
      <c r="O6" s="33"/>
      <c r="P6" s="22"/>
      <c r="Q6" s="24"/>
      <c r="R6" s="26"/>
      <c r="S6" s="28"/>
    </row>
    <row r="7" spans="1:19" ht="23.1" customHeight="1" x14ac:dyDescent="0.15">
      <c r="A7" s="36"/>
      <c r="B7" s="39"/>
      <c r="C7" s="40"/>
      <c r="D7" s="41"/>
      <c r="E7" s="42"/>
      <c r="F7" s="39"/>
      <c r="G7" s="42"/>
      <c r="H7" s="18"/>
      <c r="I7" s="23"/>
      <c r="J7" s="18"/>
      <c r="K7" s="20"/>
      <c r="L7" s="4"/>
      <c r="M7" s="9" t="s">
        <v>15</v>
      </c>
      <c r="N7" s="10"/>
      <c r="O7" s="3" t="s">
        <v>15</v>
      </c>
      <c r="P7" s="23"/>
      <c r="Q7" s="24"/>
      <c r="R7" s="27"/>
      <c r="S7" s="28"/>
    </row>
    <row r="8" spans="1:19" hidden="1" x14ac:dyDescent="0.15">
      <c r="A8" s="5" t="s">
        <v>18</v>
      </c>
      <c r="B8" s="6">
        <f>SUM(B9:B24)</f>
        <v>23320</v>
      </c>
      <c r="C8" s="7">
        <v>283713.04480846494</v>
      </c>
      <c r="D8" s="2"/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7">
        <f>SUM(Q9:Q24)</f>
        <v>3242020.8499999996</v>
      </c>
      <c r="R8" s="11">
        <f>F8-P8</f>
        <v>0</v>
      </c>
      <c r="S8" s="12">
        <f>Q8-F8+P8</f>
        <v>3242020.8499999996</v>
      </c>
    </row>
    <row r="9" spans="1:19" hidden="1" x14ac:dyDescent="0.15">
      <c r="A9" s="5" t="s">
        <v>19</v>
      </c>
      <c r="B9" s="6">
        <v>98</v>
      </c>
      <c r="C9" s="7">
        <v>1931.3948680139999</v>
      </c>
      <c r="D9" s="2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7">
        <v>247.35000000000002</v>
      </c>
      <c r="R9" s="11">
        <f t="shared" ref="R9:R24" si="0">F9-P9</f>
        <v>0</v>
      </c>
      <c r="S9" s="12">
        <f t="shared" ref="S9:S24" si="1">Q9-F9+P9</f>
        <v>247.35000000000002</v>
      </c>
    </row>
    <row r="10" spans="1:19" hidden="1" x14ac:dyDescent="0.15">
      <c r="A10" s="5" t="s">
        <v>20</v>
      </c>
      <c r="B10" s="6">
        <v>39</v>
      </c>
      <c r="C10" s="7">
        <v>885.40462556849991</v>
      </c>
      <c r="D10" s="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7">
        <v>0</v>
      </c>
      <c r="R10" s="11">
        <f t="shared" si="0"/>
        <v>0</v>
      </c>
      <c r="S10" s="12">
        <f t="shared" si="1"/>
        <v>0</v>
      </c>
    </row>
    <row r="11" spans="1:19" hidden="1" x14ac:dyDescent="0.15">
      <c r="A11" s="5" t="s">
        <v>21</v>
      </c>
      <c r="B11" s="6">
        <v>70</v>
      </c>
      <c r="C11" s="7">
        <v>2251.9289327534998</v>
      </c>
      <c r="D11" s="2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7">
        <v>0</v>
      </c>
      <c r="R11" s="11">
        <f t="shared" si="0"/>
        <v>0</v>
      </c>
      <c r="S11" s="12">
        <f t="shared" si="1"/>
        <v>0</v>
      </c>
    </row>
    <row r="12" spans="1:19" ht="36.75" customHeight="1" x14ac:dyDescent="0.15">
      <c r="A12" s="5" t="s">
        <v>37</v>
      </c>
      <c r="B12" s="6">
        <v>434</v>
      </c>
      <c r="C12" s="7">
        <v>4899.71</v>
      </c>
      <c r="D12" s="2"/>
      <c r="E12" s="8"/>
      <c r="F12" s="2">
        <v>37.58</v>
      </c>
      <c r="G12" s="2">
        <v>7.97</v>
      </c>
      <c r="H12" s="2">
        <v>17.62</v>
      </c>
      <c r="I12" s="2">
        <v>1.79</v>
      </c>
      <c r="J12" s="2">
        <v>19.96</v>
      </c>
      <c r="K12" s="2">
        <v>6.18</v>
      </c>
      <c r="L12" s="2">
        <v>16.28</v>
      </c>
      <c r="M12" s="2">
        <v>3.28</v>
      </c>
      <c r="N12" s="2">
        <v>3.68</v>
      </c>
      <c r="O12" s="2">
        <v>2.9</v>
      </c>
      <c r="P12" s="2">
        <v>224.11</v>
      </c>
      <c r="Q12" s="7">
        <v>4198.7</v>
      </c>
      <c r="R12" s="11">
        <f>F12-P12</f>
        <v>-186.53000000000003</v>
      </c>
      <c r="S12" s="12">
        <f>Q12-F12+P12</f>
        <v>4385.2299999999996</v>
      </c>
    </row>
    <row r="13" spans="1:19" hidden="1" x14ac:dyDescent="0.15">
      <c r="A13" s="5" t="s">
        <v>22</v>
      </c>
      <c r="B13" s="6">
        <v>236</v>
      </c>
      <c r="C13" s="7">
        <v>2234.1752256434997</v>
      </c>
      <c r="D13" s="2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7"/>
      <c r="R13" s="11"/>
      <c r="S13" s="12">
        <f t="shared" si="1"/>
        <v>0</v>
      </c>
    </row>
    <row r="14" spans="1:19" hidden="1" x14ac:dyDescent="0.15">
      <c r="A14" s="5" t="s">
        <v>23</v>
      </c>
      <c r="B14" s="6">
        <v>477</v>
      </c>
      <c r="C14" s="7">
        <v>5577.4014800280002</v>
      </c>
      <c r="D14" s="2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7"/>
      <c r="R14" s="11"/>
      <c r="S14" s="12">
        <f t="shared" si="1"/>
        <v>0</v>
      </c>
    </row>
    <row r="15" spans="1:19" hidden="1" x14ac:dyDescent="0.15">
      <c r="A15" s="5" t="s">
        <v>24</v>
      </c>
      <c r="B15" s="6">
        <v>378</v>
      </c>
      <c r="C15" s="7">
        <v>6901.875587859</v>
      </c>
      <c r="D15" s="2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7"/>
      <c r="R15" s="11"/>
      <c r="S15" s="12">
        <f t="shared" si="1"/>
        <v>0</v>
      </c>
    </row>
    <row r="16" spans="1:19" hidden="1" x14ac:dyDescent="0.15">
      <c r="A16" s="5" t="s">
        <v>25</v>
      </c>
      <c r="B16" s="6">
        <v>163</v>
      </c>
      <c r="C16" s="7">
        <v>921.64250127900004</v>
      </c>
      <c r="D16" s="2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7"/>
      <c r="R16" s="11"/>
      <c r="S16" s="12">
        <f t="shared" si="1"/>
        <v>0</v>
      </c>
    </row>
    <row r="17" spans="1:19" ht="27" hidden="1" x14ac:dyDescent="0.15">
      <c r="A17" s="5" t="s">
        <v>26</v>
      </c>
      <c r="B17" s="6">
        <v>2006</v>
      </c>
      <c r="C17" s="7">
        <v>26271.527132657997</v>
      </c>
      <c r="D17" s="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7"/>
      <c r="R17" s="11"/>
      <c r="S17" s="12">
        <f t="shared" si="1"/>
        <v>0</v>
      </c>
    </row>
    <row r="18" spans="1:19" ht="54" hidden="1" customHeight="1" x14ac:dyDescent="0.15">
      <c r="A18" s="15" t="s">
        <v>27</v>
      </c>
      <c r="B18" s="6" t="s">
        <v>35</v>
      </c>
      <c r="C18" s="7" t="s">
        <v>36</v>
      </c>
      <c r="D18" s="13">
        <v>1188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4"/>
      <c r="Q18" s="7"/>
      <c r="R18" s="11"/>
      <c r="S18" s="12">
        <f t="shared" si="1"/>
        <v>0</v>
      </c>
    </row>
    <row r="19" spans="1:19" hidden="1" x14ac:dyDescent="0.15">
      <c r="A19" s="5" t="s">
        <v>28</v>
      </c>
      <c r="B19" s="6">
        <v>2284</v>
      </c>
      <c r="C19" s="7">
        <v>29291.578381557003</v>
      </c>
      <c r="D19" s="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7">
        <v>294454.8</v>
      </c>
      <c r="R19" s="11">
        <f t="shared" si="0"/>
        <v>0</v>
      </c>
      <c r="S19" s="12">
        <f t="shared" si="1"/>
        <v>294454.8</v>
      </c>
    </row>
    <row r="20" spans="1:19" hidden="1" x14ac:dyDescent="0.15">
      <c r="A20" s="5" t="s">
        <v>29</v>
      </c>
      <c r="B20" s="6">
        <v>2396</v>
      </c>
      <c r="C20" s="7">
        <v>30492.192669461998</v>
      </c>
      <c r="D20" s="2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7">
        <v>179197.95</v>
      </c>
      <c r="R20" s="11">
        <f t="shared" si="0"/>
        <v>0</v>
      </c>
      <c r="S20" s="12">
        <f t="shared" si="1"/>
        <v>179197.95</v>
      </c>
    </row>
    <row r="21" spans="1:19" hidden="1" x14ac:dyDescent="0.15">
      <c r="A21" s="5" t="s">
        <v>30</v>
      </c>
      <c r="B21" s="6">
        <v>1989</v>
      </c>
      <c r="C21" s="7">
        <v>28642.472869162499</v>
      </c>
      <c r="D21" s="2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7">
        <v>429537.6</v>
      </c>
      <c r="R21" s="11">
        <f t="shared" si="0"/>
        <v>0</v>
      </c>
      <c r="S21" s="12">
        <f t="shared" si="1"/>
        <v>429537.6</v>
      </c>
    </row>
    <row r="22" spans="1:19" hidden="1" x14ac:dyDescent="0.15">
      <c r="A22" s="5" t="s">
        <v>31</v>
      </c>
      <c r="B22" s="6">
        <v>4457</v>
      </c>
      <c r="C22" s="7">
        <v>49228.322529628502</v>
      </c>
      <c r="D22" s="2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7">
        <v>645286.65</v>
      </c>
      <c r="R22" s="11">
        <f t="shared" si="0"/>
        <v>0</v>
      </c>
      <c r="S22" s="12">
        <f t="shared" si="1"/>
        <v>645286.65</v>
      </c>
    </row>
    <row r="23" spans="1:19" hidden="1" x14ac:dyDescent="0.15">
      <c r="A23" s="5" t="s">
        <v>32</v>
      </c>
      <c r="B23" s="6">
        <v>4686</v>
      </c>
      <c r="C23" s="7">
        <v>39198.605143630506</v>
      </c>
      <c r="D23" s="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7">
        <v>1005895.5</v>
      </c>
      <c r="R23" s="11">
        <f t="shared" si="0"/>
        <v>0</v>
      </c>
      <c r="S23" s="12">
        <f t="shared" si="1"/>
        <v>1005895.5</v>
      </c>
    </row>
    <row r="24" spans="1:19" ht="9" hidden="1" customHeight="1" x14ac:dyDescent="0.15">
      <c r="A24" s="5" t="s">
        <v>33</v>
      </c>
      <c r="B24" s="6">
        <v>3607</v>
      </c>
      <c r="C24" s="7">
        <v>35932.541683088995</v>
      </c>
      <c r="D24" s="2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7">
        <v>683202.3</v>
      </c>
      <c r="R24" s="11">
        <f t="shared" si="0"/>
        <v>0</v>
      </c>
      <c r="S24" s="12">
        <f t="shared" si="1"/>
        <v>683202.3</v>
      </c>
    </row>
    <row r="25" spans="1:19" ht="23.25" customHeight="1" x14ac:dyDescent="0.15">
      <c r="A25" s="34" t="s">
        <v>34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</row>
  </sheetData>
  <mergeCells count="25">
    <mergeCell ref="A1:P1"/>
    <mergeCell ref="A2:C2"/>
    <mergeCell ref="M2:P2"/>
    <mergeCell ref="F3:O3"/>
    <mergeCell ref="F4:G4"/>
    <mergeCell ref="H4:I4"/>
    <mergeCell ref="J4:O4"/>
    <mergeCell ref="A25:S25"/>
    <mergeCell ref="A3:A7"/>
    <mergeCell ref="B3:B7"/>
    <mergeCell ref="C3:C7"/>
    <mergeCell ref="D3:D7"/>
    <mergeCell ref="E3:E7"/>
    <mergeCell ref="F5:F7"/>
    <mergeCell ref="G5:G7"/>
    <mergeCell ref="H5:H7"/>
    <mergeCell ref="I5:I7"/>
    <mergeCell ref="J5:J7"/>
    <mergeCell ref="K5:K7"/>
    <mergeCell ref="P3:P7"/>
    <mergeCell ref="Q3:Q7"/>
    <mergeCell ref="R3:R7"/>
    <mergeCell ref="S3:S7"/>
    <mergeCell ref="L5:M6"/>
    <mergeCell ref="N5:O6"/>
  </mergeCells>
  <phoneticPr fontId="3" type="noConversion"/>
  <pageMargins left="0.75" right="0.75" top="1" bottom="1" header="0.51180555555555551" footer="0.5118055555555555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813A-CC60-4C1F-90A5-5D04D211E6E5}">
  <dimension ref="A1"/>
  <sheetViews>
    <sheetView zoomScaleSheetLayoutView="100" workbookViewId="0"/>
  </sheetViews>
  <sheetFormatPr defaultColWidth="9" defaultRowHeight="14.25" x14ac:dyDescent="0.15"/>
  <sheetData/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CCAD-7F6E-4F67-B1F4-321171C9B516}">
  <dimension ref="A1"/>
  <sheetViews>
    <sheetView zoomScaleSheetLayoutView="100" workbookViewId="0"/>
  </sheetViews>
  <sheetFormatPr defaultColWidth="9" defaultRowHeight="14.25" x14ac:dyDescent="0.15"/>
  <sheetData/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qiu ye</cp:lastModifiedBy>
  <dcterms:created xsi:type="dcterms:W3CDTF">2025-11-21T06:37:16Z</dcterms:created>
  <dcterms:modified xsi:type="dcterms:W3CDTF">2026-08-21T10:16:39Z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2052-11.8.6.8811</vt:lpwstr>
  </property>
</Properties>
</file>